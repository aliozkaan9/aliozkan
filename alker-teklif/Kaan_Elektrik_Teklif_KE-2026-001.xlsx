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f" sheetId="1" state="visible" r:id="rId3"/>
  </sheets>
  <definedNames>
    <definedName function="false" hidden="false" localSheetId="0" name="_xlnm.Print_Area" vbProcedure="false">Teklif!$A$1:$E$39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Donanım grubu toplam fiyatı: 448.000 ₺ (kullanıcı tarafından belirtildi).</t>
        </r>
      </text>
    </comment>
    <comment ref="D21" authorId="0">
      <text>
        <r>
          <rPr>
            <sz val="10"/>
            <rFont val="Arial"/>
            <family val="2"/>
          </rPr>
          <t xml:space="preserve">Hizmet grubu toplam fiyatı: 430.000 ₺ (kullanıcı tarafından belirtildi).</t>
        </r>
      </text>
    </comment>
    <comment ref="E29" authorId="0">
      <text>
        <r>
          <rPr>
            <sz val="10"/>
            <rFont val="Arial"/>
            <family val="2"/>
          </rPr>
          <t xml:space="preserve">KDV oranı %20 (kullanıcı tarafından belirtildi). Değiştirirseniz tüm hesap güncellenir.</t>
        </r>
      </text>
    </comment>
  </commentList>
</comments>
</file>

<file path=xl/sharedStrings.xml><?xml version="1.0" encoding="utf-8"?>
<sst xmlns="http://schemas.openxmlformats.org/spreadsheetml/2006/main" count="43" uniqueCount="43">
  <si>
    <t xml:space="preserve">FİYAT TEKLİFİ</t>
  </si>
  <si>
    <t xml:space="preserve">MÜŞTERİ</t>
  </si>
  <si>
    <t xml:space="preserve">TARİH</t>
  </si>
  <si>
    <t xml:space="preserve">NASIL KULLANILIR</t>
  </si>
  <si>
    <t xml:space="preserve">1. Müşteri adını B7 hücresine yazın.</t>
  </si>
  <si>
    <t xml:space="preserve">KONU</t>
  </si>
  <si>
    <t xml:space="preserve">TEKLİF NO</t>
  </si>
  <si>
    <t xml:space="preserve">2. Fiyatlar grup satırlarında (D sütunu); alt kalemler pakete dahildir.</t>
  </si>
  <si>
    <t xml:space="preserve">PLC tabanlı otomasyon ve uzaktan izleme sistemi</t>
  </si>
  <si>
    <t xml:space="preserve">KE-2026-001</t>
  </si>
  <si>
    <t xml:space="preserve">   Grup fiyatını değiştirirseniz ara toplam, KDV ve genel toplam güncellenir.</t>
  </si>
  <si>
    <t xml:space="preserve">3. Alt kalem adetlerini C sütunundan düzeltin.</t>
  </si>
  <si>
    <t xml:space="preserve">Sıra</t>
  </si>
  <si>
    <t xml:space="preserve">Ürün / Hizmet</t>
  </si>
  <si>
    <t xml:space="preserve">Adet</t>
  </si>
  <si>
    <t xml:space="preserve">Birim Fiyat (₺)</t>
  </si>
  <si>
    <t xml:space="preserve">Tutar (₺)</t>
  </si>
  <si>
    <t xml:space="preserve">4. KDV oranı E29 hücresinde (%20).</t>
  </si>
  <si>
    <t xml:space="preserve">DONANIM VE MALZEME</t>
  </si>
  <si>
    <t xml:space="preserve">Bu sütun yazdırılmaz.</t>
  </si>
  <si>
    <t xml:space="preserve">Delta DVP12SE11R PLC: DVP-SE serisi, 8 dijital giriş / 4 röle çıkış, dahili Ethernet ve RS-485 (Modbus)</t>
  </si>
  <si>
    <t xml:space="preserve">Delta DVP04AD-S2 analog giriş modülü: 4 kanal, gerilim/akım girişli</t>
  </si>
  <si>
    <t xml:space="preserve">Autonics E50S8-500-3-T-1 artımlı enkoder: Ø50 mm gövde, milli, 500 darbe/tur, 5–24 VDC</t>
  </si>
  <si>
    <t xml:space="preserve">Delta DOP-103BQ HMI operatör paneli: DOP-100 serisi, 4,3" dokunmatik ekran</t>
  </si>
  <si>
    <t xml:space="preserve">Dijital mikrometre, 0–25 mm ölçüm aralığı</t>
  </si>
  <si>
    <t xml:space="preserve">ENTES M3609 şebeke analizörü: şöntlü, ekransız, DIN ray montaj</t>
  </si>
  <si>
    <t xml:space="preserve">Sesli ve ışıklı alarm (siren + flaşör), 24 VDC</t>
  </si>
  <si>
    <t xml:space="preserve">YAZILIM, MONTAJ VE ENTEGRASYON HİZMETLERİ</t>
  </si>
  <si>
    <t xml:space="preserve">PLC yazılımı: otomasyon senaryosunun programlanması, test ve devreye alma</t>
  </si>
  <si>
    <t xml:space="preserve">Montaj: pano içi montaj, kablolama ve saha bağlantıları</t>
  </si>
  <si>
    <t xml:space="preserve">Web panel tasarımı ve PLC entegrasyonu</t>
  </si>
  <si>
    <t xml:space="preserve">Uzaktan izleme ve yönetim: sistemin web üzerinden anlık izlenmesi ve kontrolü</t>
  </si>
  <si>
    <t xml:space="preserve">Personel panel ekranı yazılımı: operatör ekranı arayüz tasarımı ve programlanması</t>
  </si>
  <si>
    <t xml:space="preserve">Ara Toplam</t>
  </si>
  <si>
    <t xml:space="preserve">KDV Oranı</t>
  </si>
  <si>
    <t xml:space="preserve">KDV</t>
  </si>
  <si>
    <t xml:space="preserve">GENEL TOPLAM (KDV Dahil)</t>
  </si>
  <si>
    <t xml:space="preserve">NOTLAR</t>
  </si>
  <si>
    <t xml:space="preserve">Fiyatlar Türk Lirası (₺) cinsindendir.</t>
  </si>
  <si>
    <t xml:space="preserve">Teklif geçerlilik süresi: 30 gün.</t>
  </si>
  <si>
    <t xml:space="preserve">Ödeme koşulları: %50 başlangıçta, %50 teslimde.</t>
  </si>
  <si>
    <t xml:space="preserve">Kaan Kablo Market · Kaan Elektrik</t>
  </si>
  <si>
    <t xml:space="preserve">Kaşe / İmza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</si>
</sst>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₺&quot;;\-#,##0.00&quot; ₺&quot;;\-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515"/>
      <name val="Arial"/>
      <family val="0"/>
      <charset val="1"/>
    </font>
    <font>
      <b val="true"/>
      <sz val="8"/>
      <color rgb="FF60646A"/>
      <name val="Arial"/>
      <family val="0"/>
      <charset val="1"/>
    </font>
    <font>
      <b val="true"/>
      <sz val="9"/>
      <color rgb="FF141515"/>
      <name val="Arial"/>
      <family val="0"/>
      <charset val="1"/>
    </font>
    <font>
      <sz val="11"/>
      <color rgb="FF141515"/>
      <name val="Arial"/>
      <family val="0"/>
      <charset val="1"/>
    </font>
    <font>
      <sz val="9"/>
      <color rgb="FF606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43DA"/>
      <name val="Arial"/>
      <family val="0"/>
      <charset val="1"/>
    </font>
    <font>
      <b val="true"/>
      <sz val="10"/>
      <color rgb="FF141515"/>
      <name val="Arial"/>
      <family val="0"/>
      <charset val="1"/>
    </font>
    <font>
      <sz val="9"/>
      <color rgb="FF141515"/>
      <name val="Arial"/>
      <family val="0"/>
      <charset val="1"/>
    </font>
    <font>
      <sz val="10"/>
      <color rgb="FF60646A"/>
      <name val="Arial"/>
      <family val="0"/>
      <charset val="1"/>
    </font>
    <font>
      <sz val="10"/>
      <color rgb="FF14151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60646A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3DA"/>
        <bgColor rgb="FF333399"/>
      </patternFill>
    </fill>
    <fill>
      <patternFill patternType="solid">
        <fgColor rgb="FFE6ECFB"/>
        <bgColor rgb="FFD8DAD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43DA"/>
      </bottom>
      <diagonal/>
    </border>
    <border diagonalUp="false" diagonalDown="false">
      <left/>
      <right/>
      <top/>
      <bottom style="thin">
        <color rgb="FFD8DAD6"/>
      </bottom>
      <diagonal/>
    </border>
    <border diagonalUp="false" diagonalDown="false">
      <left/>
      <right/>
      <top/>
      <bottom style="thin">
        <color rgb="FF004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CFB"/>
      <rgbColor rgb="FF660066"/>
      <rgbColor rgb="FFFF8080"/>
      <rgbColor rgb="FF0043DA"/>
      <rgbColor rgb="FFD8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46A"/>
      <rgbColor rgb="FF969696"/>
      <rgbColor rgb="FF003366"/>
      <rgbColor rgb="FF339966"/>
      <rgbColor rgb="FF1415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38160</xdr:rowOff>
    </xdr:from>
    <xdr:to>
      <xdr:col>1</xdr:col>
      <xdr:colOff>624240</xdr:colOff>
      <xdr:row>0</xdr:row>
      <xdr:rowOff>875880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160"/>
          <a:ext cx="104724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781200</xdr:colOff>
      <xdr:row>0</xdr:row>
      <xdr:rowOff>38160</xdr:rowOff>
    </xdr:from>
    <xdr:to>
      <xdr:col>1</xdr:col>
      <xdr:colOff>1695240</xdr:colOff>
      <xdr:row>0</xdr:row>
      <xdr:rowOff>875880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04200" y="38160"/>
          <a:ext cx="91404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3"/>
    <col collapsed="false" customWidth="true" hidden="false" outlineLevel="0" max="7" min="7" style="0" width="62"/>
  </cols>
  <sheetData>
    <row r="1" customFormat="false" ht="72" hidden="false" customHeight="true" outlineLevel="0" collapsed="false">
      <c r="E1" s="1" t="s">
        <v>0</v>
      </c>
    </row>
    <row r="2" customFormat="false" ht="6" hidden="false" customHeight="true" outlineLevel="0" collapsed="false"/>
    <row r="3" customFormat="false" ht="6" hidden="false" customHeight="true" outlineLevel="0" collapsed="false"/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5" hidden="false" customHeight="false" outlineLevel="0" collapsed="false">
      <c r="B6" s="3" t="s">
        <v>1</v>
      </c>
      <c r="E6" s="4" t="s">
        <v>2</v>
      </c>
      <c r="G6" s="5" t="s">
        <v>3</v>
      </c>
    </row>
    <row r="7" customFormat="false" ht="15" hidden="false" customHeight="false" outlineLevel="0" collapsed="false">
      <c r="B7" s="6"/>
      <c r="E7" s="7" t="n">
        <v>46315</v>
      </c>
      <c r="G7" s="8" t="s">
        <v>4</v>
      </c>
    </row>
    <row r="8" customFormat="false" ht="15" hidden="false" customHeight="false" outlineLevel="0" collapsed="false">
      <c r="B8" s="3" t="s">
        <v>5</v>
      </c>
      <c r="E8" s="4" t="s">
        <v>6</v>
      </c>
      <c r="G8" s="8" t="s">
        <v>7</v>
      </c>
    </row>
    <row r="9" customFormat="false" ht="15" hidden="false" customHeight="false" outlineLevel="0" collapsed="false">
      <c r="B9" s="6" t="s">
        <v>8</v>
      </c>
      <c r="E9" s="9" t="s">
        <v>9</v>
      </c>
      <c r="G9" s="8" t="s">
        <v>10</v>
      </c>
    </row>
    <row r="10" customFormat="false" ht="15" hidden="false" customHeight="false" outlineLevel="0" collapsed="false">
      <c r="G10" s="8" t="s">
        <v>11</v>
      </c>
    </row>
    <row r="11" customFormat="false" ht="21.75" hidden="false" customHeight="true" outlineLevel="0" collapsed="false">
      <c r="A11" s="10" t="s">
        <v>12</v>
      </c>
      <c r="B11" s="11" t="s">
        <v>13</v>
      </c>
      <c r="C11" s="10" t="s">
        <v>14</v>
      </c>
      <c r="D11" s="12" t="s">
        <v>15</v>
      </c>
      <c r="E11" s="12" t="s">
        <v>16</v>
      </c>
      <c r="G11" s="8" t="s">
        <v>17</v>
      </c>
    </row>
    <row r="12" customFormat="false" ht="21.75" hidden="false" customHeight="true" outlineLevel="0" collapsed="false">
      <c r="A12" s="13" t="n">
        <v>1</v>
      </c>
      <c r="B12" s="14" t="s">
        <v>18</v>
      </c>
      <c r="C12" s="15" t="n">
        <v>1</v>
      </c>
      <c r="D12" s="16" t="n">
        <v>448000</v>
      </c>
      <c r="E12" s="16" t="n">
        <f aca="false">IF(OR(C12="",D12=""),"",C12*D12)</f>
        <v>448000</v>
      </c>
      <c r="G12" s="8" t="s">
        <v>19</v>
      </c>
    </row>
    <row r="13" customFormat="false" ht="34.5" hidden="false" customHeight="true" outlineLevel="0" collapsed="false">
      <c r="A13" s="17"/>
      <c r="B13" s="18" t="s">
        <v>20</v>
      </c>
      <c r="C13" s="17" t="n">
        <v>1</v>
      </c>
      <c r="D13" s="19"/>
      <c r="E13" s="19"/>
    </row>
    <row r="14" customFormat="false" ht="34.5" hidden="false" customHeight="true" outlineLevel="0" collapsed="false">
      <c r="A14" s="17"/>
      <c r="B14" s="18" t="s">
        <v>21</v>
      </c>
      <c r="C14" s="17" t="n">
        <v>1</v>
      </c>
      <c r="D14" s="19"/>
      <c r="E14" s="19"/>
    </row>
    <row r="15" customFormat="false" ht="34.5" hidden="false" customHeight="true" outlineLevel="0" collapsed="false">
      <c r="A15" s="17"/>
      <c r="B15" s="18" t="s">
        <v>22</v>
      </c>
      <c r="C15" s="17" t="n">
        <v>1</v>
      </c>
      <c r="D15" s="19"/>
      <c r="E15" s="19"/>
    </row>
    <row r="16" customFormat="false" ht="34.5" hidden="false" customHeight="true" outlineLevel="0" collapsed="false">
      <c r="A16" s="17"/>
      <c r="B16" s="18" t="s">
        <v>23</v>
      </c>
      <c r="C16" s="17" t="n">
        <v>1</v>
      </c>
      <c r="D16" s="19"/>
      <c r="E16" s="19"/>
    </row>
    <row r="17" customFormat="false" ht="19.5" hidden="false" customHeight="true" outlineLevel="0" collapsed="false">
      <c r="A17" s="17"/>
      <c r="B17" s="18" t="s">
        <v>24</v>
      </c>
      <c r="C17" s="17" t="n">
        <v>1</v>
      </c>
      <c r="D17" s="19"/>
      <c r="E17" s="19"/>
    </row>
    <row r="18" customFormat="false" ht="34.5" hidden="false" customHeight="true" outlineLevel="0" collapsed="false">
      <c r="A18" s="17"/>
      <c r="B18" s="18" t="s">
        <v>25</v>
      </c>
      <c r="C18" s="17" t="n">
        <v>1</v>
      </c>
      <c r="D18" s="19"/>
      <c r="E18" s="19"/>
    </row>
    <row r="19" customFormat="false" ht="19.5" hidden="false" customHeight="true" outlineLevel="0" collapsed="false">
      <c r="A19" s="17"/>
      <c r="B19" s="18" t="s">
        <v>26</v>
      </c>
      <c r="C19" s="17" t="n">
        <v>1</v>
      </c>
      <c r="D19" s="19"/>
      <c r="E19" s="19"/>
    </row>
    <row r="20" customFormat="false" ht="7.5" hidden="false" customHeight="true" outlineLevel="0" collapsed="false"/>
    <row r="21" customFormat="false" ht="21.75" hidden="false" customHeight="true" outlineLevel="0" collapsed="false">
      <c r="A21" s="13" t="n">
        <v>2</v>
      </c>
      <c r="B21" s="14" t="s">
        <v>27</v>
      </c>
      <c r="C21" s="15" t="n">
        <v>1</v>
      </c>
      <c r="D21" s="16" t="n">
        <v>430000</v>
      </c>
      <c r="E21" s="16" t="n">
        <f aca="false">IF(OR(C21="",D21=""),"",C21*D21)</f>
        <v>430000</v>
      </c>
    </row>
    <row r="22" customFormat="false" ht="34.5" hidden="false" customHeight="true" outlineLevel="0" collapsed="false">
      <c r="A22" s="17"/>
      <c r="B22" s="18" t="s">
        <v>28</v>
      </c>
      <c r="C22" s="17" t="n">
        <v>1</v>
      </c>
      <c r="D22" s="19"/>
      <c r="E22" s="19"/>
    </row>
    <row r="23" customFormat="false" ht="19.5" hidden="false" customHeight="true" outlineLevel="0" collapsed="false">
      <c r="A23" s="17"/>
      <c r="B23" s="18" t="s">
        <v>29</v>
      </c>
      <c r="C23" s="17" t="n">
        <v>1</v>
      </c>
      <c r="D23" s="19"/>
      <c r="E23" s="19"/>
    </row>
    <row r="24" customFormat="false" ht="19.5" hidden="false" customHeight="true" outlineLevel="0" collapsed="false">
      <c r="A24" s="17"/>
      <c r="B24" s="18" t="s">
        <v>30</v>
      </c>
      <c r="C24" s="17" t="n">
        <v>1</v>
      </c>
      <c r="D24" s="19"/>
      <c r="E24" s="19"/>
    </row>
    <row r="25" customFormat="false" ht="34.5" hidden="false" customHeight="true" outlineLevel="0" collapsed="false">
      <c r="A25" s="17"/>
      <c r="B25" s="18" t="s">
        <v>31</v>
      </c>
      <c r="C25" s="17" t="n">
        <v>1</v>
      </c>
      <c r="D25" s="19"/>
      <c r="E25" s="19"/>
    </row>
    <row r="26" customFormat="false" ht="34.5" hidden="false" customHeight="true" outlineLevel="0" collapsed="false">
      <c r="A26" s="17"/>
      <c r="B26" s="18" t="s">
        <v>32</v>
      </c>
      <c r="C26" s="17" t="n">
        <v>1</v>
      </c>
      <c r="D26" s="19"/>
      <c r="E26" s="19"/>
    </row>
    <row r="28" customFormat="false" ht="15" hidden="false" customHeight="false" outlineLevel="0" collapsed="false">
      <c r="D28" s="20" t="s">
        <v>33</v>
      </c>
      <c r="E28" s="21" t="n">
        <f aca="false">SUM(E12:E26)</f>
        <v>878000</v>
      </c>
    </row>
    <row r="29" customFormat="false" ht="15" hidden="false" customHeight="false" outlineLevel="0" collapsed="false">
      <c r="D29" s="20" t="s">
        <v>34</v>
      </c>
      <c r="E29" s="22" t="n">
        <v>0.2</v>
      </c>
    </row>
    <row r="30" customFormat="false" ht="15" hidden="false" customHeight="false" outlineLevel="0" collapsed="false">
      <c r="D30" s="20" t="s">
        <v>35</v>
      </c>
      <c r="E30" s="21" t="n">
        <f aca="false">E28*E29</f>
        <v>175600</v>
      </c>
    </row>
    <row r="31" customFormat="false" ht="25.5" hidden="false" customHeight="true" outlineLevel="0" collapsed="false">
      <c r="B31" s="23" t="s">
        <v>36</v>
      </c>
      <c r="C31" s="23"/>
      <c r="D31" s="23"/>
      <c r="E31" s="24" t="n">
        <f aca="false">E28+E30</f>
        <v>1053600</v>
      </c>
    </row>
    <row r="33" customFormat="false" ht="15" hidden="false" customHeight="false" outlineLevel="0" collapsed="false">
      <c r="B33" s="3" t="s">
        <v>37</v>
      </c>
    </row>
    <row r="34" customFormat="false" ht="15" hidden="false" customHeight="false" outlineLevel="0" collapsed="false">
      <c r="B34" s="8" t="s">
        <v>38</v>
      </c>
    </row>
    <row r="35" customFormat="false" ht="15" hidden="false" customHeight="false" outlineLevel="0" collapsed="false">
      <c r="B35" s="8" t="s">
        <v>39</v>
      </c>
    </row>
    <row r="36" customFormat="false" ht="15" hidden="false" customHeight="false" outlineLevel="0" collapsed="false">
      <c r="B36" s="8" t="s">
        <v>40</v>
      </c>
    </row>
    <row r="38" customFormat="false" ht="15" hidden="false" customHeight="false" outlineLevel="0" collapsed="false">
      <c r="E38" s="25" t="s">
        <v>41</v>
      </c>
    </row>
    <row r="39" customFormat="false" ht="15" hidden="false" customHeight="false" outlineLevel="0" collapsed="false">
      <c r="E39" s="26" t="s">
        <v>42</v>
      </c>
    </row>
  </sheetData>
  <mergeCells count="1">
    <mergeCell ref="B31:D31"/>
  </mergeCells>
  <dataValidations count="2">
    <dataValidation allowBlank="false" error="Adet 0'dan büyük bir sayı olmalı." errorStyle="stop" errorTitle="Geçersiz adet" operator="greaterThan" showDropDown="false" showErrorMessage="true" showInputMessage="false" sqref="C12:C26" type="decimal">
      <formula1>0</formula1>
      <formula2>0</formula2>
    </dataValidation>
    <dataValidation allowBlank="false" error="Fiyat 0 veya daha büyük bir sayı olmalı." errorStyle="stop" errorTitle="Geçersiz fiyat" operator="greaterThanOrEqual" showDropDown="false" showErrorMessage="true" showInputMessage="false" sqref="D12:D26" type="decimal">
      <formula1>0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2026-10-20T14:55:15Z</dcterms:created>
  <dc:creator>openpyxl</dc:creator>
  <dc:description/>
  <dc:language>en-US</dc:language>
  <cp:lastModifiedBy/>
  <dcterms:modified xsi:type="dcterms:W3CDTF">2026-10-20T14:55:15Z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